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usuario\Desktop\EPN\Semestres\TercerSemestre\ProbEstadistica\"/>
    </mc:Choice>
  </mc:AlternateContent>
  <xr:revisionPtr revIDLastSave="0" documentId="13_ncr:1_{1B19F804-C382-42E6-9E3A-E4C662810140}" xr6:coauthVersionLast="47" xr6:coauthVersionMax="47" xr10:uidLastSave="{00000000-0000-0000-0000-000000000000}"/>
  <bookViews>
    <workbookView xWindow="-110" yWindow="-110" windowWidth="17020" windowHeight="100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1" l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24" i="1"/>
  <c r="AW22" i="1"/>
  <c r="AW18" i="1"/>
</calcChain>
</file>

<file path=xl/sharedStrings.xml><?xml version="1.0" encoding="utf-8"?>
<sst xmlns="http://schemas.openxmlformats.org/spreadsheetml/2006/main" count="481" uniqueCount="93">
  <si>
    <t>.</t>
  </si>
  <si>
    <t>IP</t>
  </si>
  <si>
    <t>MASK</t>
  </si>
  <si>
    <t>AND</t>
  </si>
  <si>
    <t>subRED</t>
  </si>
  <si>
    <t>X</t>
  </si>
  <si>
    <t>Red:</t>
  </si>
  <si>
    <t>W</t>
  </si>
  <si>
    <t>Y</t>
  </si>
  <si>
    <t>Z</t>
  </si>
  <si>
    <t>/24</t>
  </si>
  <si>
    <t xml:space="preserve">Subredes solicitadas: 60 </t>
  </si>
  <si>
    <t>2^n = 60</t>
  </si>
  <si>
    <t>→</t>
  </si>
  <si>
    <t>n = 6</t>
  </si>
  <si>
    <t>2^6 = 64</t>
  </si>
  <si>
    <t>subREDES:</t>
  </si>
  <si>
    <t>24+6=30</t>
  </si>
  <si>
    <t>/30</t>
  </si>
  <si>
    <t>Broadcast:</t>
  </si>
  <si>
    <t>192.168.73.23</t>
  </si>
  <si>
    <t>192.168.73.27</t>
  </si>
  <si>
    <t>192.168.73.31</t>
  </si>
  <si>
    <t>192.168.73.35</t>
  </si>
  <si>
    <t>192.168.73.39</t>
  </si>
  <si>
    <t>192.168.73.43</t>
  </si>
  <si>
    <t>192.168.73.47</t>
  </si>
  <si>
    <t>192.168.73.51</t>
  </si>
  <si>
    <t>192.168.73.55</t>
  </si>
  <si>
    <t>192.168.73.59</t>
  </si>
  <si>
    <t>192.168.73.63</t>
  </si>
  <si>
    <t>192.168.73.67</t>
  </si>
  <si>
    <t>192.168.73.71</t>
  </si>
  <si>
    <t>192.168.73.75</t>
  </si>
  <si>
    <t>192.168.73.79</t>
  </si>
  <si>
    <t>192.168.73.83</t>
  </si>
  <si>
    <t>192.168.73.87</t>
  </si>
  <si>
    <t>192.168.73.91</t>
  </si>
  <si>
    <t>192.168.73.95</t>
  </si>
  <si>
    <t>192.168.73.99</t>
  </si>
  <si>
    <t>192.168.73.103</t>
  </si>
  <si>
    <t>192.168.73.107</t>
  </si>
  <si>
    <t>192.168.73.111</t>
  </si>
  <si>
    <t>192.168.73.115</t>
  </si>
  <si>
    <t>192.168.73.119</t>
  </si>
  <si>
    <t>192.168.73.123</t>
  </si>
  <si>
    <t>192.168.73.127</t>
  </si>
  <si>
    <t>192.168.73.131</t>
  </si>
  <si>
    <t>192.168.73.135</t>
  </si>
  <si>
    <t>192.168.73.139</t>
  </si>
  <si>
    <t>192.168.73.143</t>
  </si>
  <si>
    <t>192.168.73.147</t>
  </si>
  <si>
    <t>192.168.73.151</t>
  </si>
  <si>
    <t>192.168.73.155</t>
  </si>
  <si>
    <t>192.168.73.159</t>
  </si>
  <si>
    <t>192.168.73.163</t>
  </si>
  <si>
    <t>192.168.73.167</t>
  </si>
  <si>
    <t>192.168.73.171</t>
  </si>
  <si>
    <t>192.168.73.175</t>
  </si>
  <si>
    <t>192.168.73.179</t>
  </si>
  <si>
    <t>192.168.73.183</t>
  </si>
  <si>
    <t>192.168.73.187</t>
  </si>
  <si>
    <t>192.168.73.191</t>
  </si>
  <si>
    <t>192.168.73.195</t>
  </si>
  <si>
    <t>192.168.73.199</t>
  </si>
  <si>
    <t>192.168.73.203</t>
  </si>
  <si>
    <t>192.168.73.207</t>
  </si>
  <si>
    <t>192.168.73.211</t>
  </si>
  <si>
    <t>192.168.73.215</t>
  </si>
  <si>
    <t>192.168.73.219</t>
  </si>
  <si>
    <t>192.168.73.223</t>
  </si>
  <si>
    <t>192.168.73.227</t>
  </si>
  <si>
    <t>192.168.73.231</t>
  </si>
  <si>
    <t>192.168.73.235</t>
  </si>
  <si>
    <t>192.168.73.239</t>
  </si>
  <si>
    <t>192.168.73.243</t>
  </si>
  <si>
    <t>192.168.73.247</t>
  </si>
  <si>
    <t>192.168.73.251</t>
  </si>
  <si>
    <t>192.168.73.255</t>
  </si>
  <si>
    <t>192.168.73.15</t>
  </si>
  <si>
    <t>HOST totales:</t>
  </si>
  <si>
    <t>SubRedes</t>
  </si>
  <si>
    <t>Hosts</t>
  </si>
  <si>
    <t>Ana Corral</t>
  </si>
  <si>
    <t>MASK:</t>
  </si>
  <si>
    <t>/28</t>
  </si>
  <si>
    <t>/29</t>
  </si>
  <si>
    <t>BROADCAST DE RED</t>
  </si>
  <si>
    <t>Host:</t>
  </si>
  <si>
    <r>
      <t>(2</t>
    </r>
    <r>
      <rPr>
        <sz val="11"/>
        <color theme="1"/>
        <rFont val="Calibri"/>
        <family val="2"/>
      </rPr>
      <t>^4)-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=</t>
    </r>
  </si>
  <si>
    <r>
      <t>(2</t>
    </r>
    <r>
      <rPr>
        <sz val="11"/>
        <color theme="1"/>
        <rFont val="Calibri"/>
        <family val="2"/>
      </rPr>
      <t>^3)-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=</t>
    </r>
  </si>
  <si>
    <r>
      <t>(2</t>
    </r>
    <r>
      <rPr>
        <sz val="11"/>
        <color theme="1"/>
        <rFont val="Calibri"/>
        <family val="2"/>
      </rPr>
      <t>^2)-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</rPr>
      <t>=</t>
    </r>
  </si>
  <si>
    <r>
      <t>2*58</t>
    </r>
    <r>
      <rPr>
        <sz val="11"/>
        <color theme="1"/>
        <rFont val="Calibri"/>
        <family val="2"/>
      </rPr>
      <t>+6+</t>
    </r>
    <r>
      <rPr>
        <sz val="11"/>
        <color theme="1"/>
        <rFont val="Calibri"/>
        <family val="2"/>
        <scheme val="minor"/>
      </rPr>
      <t>14=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</si>
</sst>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Alignment="1">
      <alignment vertical="center"/>
    </xf>
    <xf numFmtId="0" fontId="0" fillId="12" borderId="0" xfId="0" applyFill="1"/>
    <xf numFmtId="0" fontId="0" fillId="13" borderId="0" xfId="0" applyFill="1" applyAlignment="1">
      <alignment horizontal="center"/>
    </xf>
    <xf numFmtId="0" fontId="0" fillId="12" borderId="0" xfId="0" applyFill="1" applyAlignment="1">
      <alignment vertical="center"/>
    </xf>
    <xf numFmtId="0" fontId="0" fillId="14" borderId="0" xfId="0" applyFill="1" applyBorder="1"/>
    <xf numFmtId="0" fontId="0" fillId="14" borderId="0" xfId="0" applyFill="1" applyBorder="1" applyAlignment="1">
      <alignment horizontal="center"/>
    </xf>
    <xf numFmtId="0" fontId="1" fillId="14" borderId="0" xfId="0" applyFont="1" applyFill="1" applyBorder="1"/>
    <xf numFmtId="3" fontId="0" fillId="0" borderId="0" xfId="0" applyNumberFormat="1"/>
    <xf numFmtId="0" fontId="0" fillId="15" borderId="0" xfId="0" applyFill="1"/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Fill="1" applyAlignment="1"/>
    <xf numFmtId="0" fontId="0" fillId="7" borderId="0" xfId="0" applyFill="1" applyAlignment="1">
      <alignment wrapText="1"/>
    </xf>
    <xf numFmtId="0" fontId="0" fillId="0" borderId="0" xfId="0" applyAlignment="1">
      <alignment wrapText="1"/>
    </xf>
    <xf numFmtId="0" fontId="0" fillId="16" borderId="0" xfId="0" applyFill="1" applyAlignment="1">
      <alignment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219075</xdr:colOff>
      <xdr:row>2</xdr:row>
      <xdr:rowOff>177800</xdr:rowOff>
    </xdr:from>
    <xdr:to>
      <xdr:col>29</xdr:col>
      <xdr:colOff>22225</xdr:colOff>
      <xdr:row>89</xdr:row>
      <xdr:rowOff>101600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4D168079-16BF-4835-9A67-B19408701C55}"/>
            </a:ext>
          </a:extLst>
        </xdr:cNvPr>
        <xdr:cNvSpPr/>
      </xdr:nvSpPr>
      <xdr:spPr>
        <a:xfrm>
          <a:off x="7581900" y="558800"/>
          <a:ext cx="41275" cy="17068800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35</xdr:col>
      <xdr:colOff>0</xdr:colOff>
      <xdr:row>3</xdr:row>
      <xdr:rowOff>0</xdr:rowOff>
    </xdr:from>
    <xdr:to>
      <xdr:col>35</xdr:col>
      <xdr:colOff>0</xdr:colOff>
      <xdr:row>89</xdr:row>
      <xdr:rowOff>85725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F08AA8C5-52DD-4E63-AE04-813D1B909985}"/>
            </a:ext>
          </a:extLst>
        </xdr:cNvPr>
        <xdr:cNvCxnSpPr/>
      </xdr:nvCxnSpPr>
      <xdr:spPr>
        <a:xfrm>
          <a:off x="9086850" y="571500"/>
          <a:ext cx="0" cy="17040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0"/>
  <sheetViews>
    <sheetView tabSelected="1" topLeftCell="A10" zoomScaleNormal="100" workbookViewId="0">
      <selection activeCell="A18" sqref="A18:AM81"/>
    </sheetView>
  </sheetViews>
  <sheetFormatPr baseColWidth="10" defaultRowHeight="14.5" x14ac:dyDescent="0.35"/>
  <cols>
    <col min="2" max="2" width="3.54296875" customWidth="1"/>
    <col min="3" max="3" width="3.7265625" customWidth="1"/>
    <col min="4" max="4" width="3.54296875" customWidth="1"/>
    <col min="5" max="5" width="3.81640625" customWidth="1"/>
    <col min="6" max="6" width="4.1796875" customWidth="1"/>
    <col min="7" max="7" width="3.54296875" customWidth="1"/>
    <col min="8" max="8" width="4" customWidth="1"/>
    <col min="9" max="11" width="3.54296875" customWidth="1"/>
    <col min="12" max="12" width="4.1796875" customWidth="1"/>
    <col min="13" max="14" width="3.54296875" customWidth="1"/>
    <col min="15" max="15" width="3.81640625" customWidth="1"/>
    <col min="16" max="16" width="3.54296875" customWidth="1"/>
    <col min="17" max="17" width="3.81640625" customWidth="1"/>
    <col min="18" max="20" width="3.54296875" customWidth="1"/>
    <col min="21" max="21" width="3.81640625" customWidth="1"/>
    <col min="22" max="29" width="3.54296875" customWidth="1"/>
    <col min="30" max="30" width="3.81640625" customWidth="1"/>
    <col min="31" max="32" width="3.54296875" customWidth="1"/>
    <col min="33" max="33" width="4.1796875" customWidth="1"/>
    <col min="34" max="37" width="3.54296875" customWidth="1"/>
    <col min="38" max="38" width="14.26953125" customWidth="1"/>
    <col min="41" max="41" width="16.26953125" customWidth="1"/>
    <col min="42" max="42" width="6.90625" customWidth="1"/>
    <col min="43" max="43" width="2.6328125" customWidth="1"/>
    <col min="45" max="45" width="14.6328125" customWidth="1"/>
    <col min="46" max="46" width="5.1796875" customWidth="1"/>
    <col min="48" max="48" width="8" customWidth="1"/>
  </cols>
  <sheetData>
    <row r="1" spans="1:37" x14ac:dyDescent="0.35">
      <c r="A1" t="s">
        <v>83</v>
      </c>
    </row>
    <row r="2" spans="1:37" x14ac:dyDescent="0.35">
      <c r="A2" s="14" t="s">
        <v>6</v>
      </c>
      <c r="B2" s="14"/>
      <c r="C2" s="15">
        <v>192</v>
      </c>
      <c r="D2" s="15" t="s">
        <v>0</v>
      </c>
      <c r="E2" s="15">
        <v>168</v>
      </c>
      <c r="F2" s="15" t="s">
        <v>0</v>
      </c>
      <c r="G2" s="15">
        <v>73</v>
      </c>
      <c r="H2" s="14" t="s">
        <v>0</v>
      </c>
      <c r="I2" s="15">
        <v>0</v>
      </c>
      <c r="J2" s="14" t="s">
        <v>10</v>
      </c>
    </row>
    <row r="3" spans="1:37" s="16" customFormat="1" x14ac:dyDescent="0.35">
      <c r="A3" s="25" t="s">
        <v>11</v>
      </c>
      <c r="B3" s="25"/>
      <c r="C3" s="26"/>
      <c r="D3" s="26"/>
      <c r="E3" s="26"/>
      <c r="F3" s="26"/>
      <c r="G3" s="26"/>
      <c r="H3" s="25" t="s">
        <v>12</v>
      </c>
      <c r="I3" s="26"/>
      <c r="J3" s="25"/>
      <c r="K3" s="27" t="s">
        <v>13</v>
      </c>
      <c r="L3" s="25" t="s">
        <v>14</v>
      </c>
      <c r="M3" s="25"/>
      <c r="N3" s="27" t="s">
        <v>13</v>
      </c>
      <c r="O3" s="25" t="s">
        <v>15</v>
      </c>
      <c r="P3" s="25"/>
      <c r="Q3" s="25"/>
      <c r="R3" s="25"/>
      <c r="S3" s="25" t="s">
        <v>17</v>
      </c>
      <c r="T3" s="25"/>
    </row>
    <row r="4" spans="1:37" s="16" customFormat="1" x14ac:dyDescent="0.35">
      <c r="C4" s="17"/>
      <c r="D4" s="17"/>
      <c r="E4" s="17"/>
      <c r="F4" s="17"/>
      <c r="G4" s="17"/>
      <c r="I4" s="17"/>
      <c r="AD4" s="40" t="s">
        <v>81</v>
      </c>
      <c r="AE4" s="40"/>
      <c r="AF4" s="40"/>
      <c r="AG4" s="40"/>
      <c r="AH4" s="40"/>
      <c r="AI4" s="40"/>
      <c r="AJ4" s="39" t="s">
        <v>82</v>
      </c>
      <c r="AK4" s="39"/>
    </row>
    <row r="5" spans="1:37" x14ac:dyDescent="0.35">
      <c r="C5" s="1"/>
      <c r="D5" s="1"/>
      <c r="E5" s="1"/>
      <c r="F5" s="1" t="s">
        <v>7</v>
      </c>
      <c r="G5" s="1"/>
      <c r="I5" s="1"/>
      <c r="O5" t="s">
        <v>5</v>
      </c>
      <c r="W5" t="s">
        <v>8</v>
      </c>
      <c r="AG5" t="s">
        <v>9</v>
      </c>
    </row>
    <row r="6" spans="1:37" x14ac:dyDescent="0.35">
      <c r="B6" s="11"/>
      <c r="C6" s="8"/>
      <c r="D6" s="8"/>
      <c r="E6" s="8"/>
      <c r="F6" s="8"/>
      <c r="G6" s="8"/>
      <c r="H6" s="8"/>
      <c r="I6" s="8"/>
      <c r="J6" s="8"/>
      <c r="K6" s="11"/>
      <c r="L6" s="8"/>
      <c r="M6" s="8"/>
      <c r="N6" s="8"/>
      <c r="O6" s="8"/>
      <c r="P6" s="8"/>
      <c r="Q6" s="8"/>
      <c r="R6" s="8"/>
      <c r="S6" s="8"/>
      <c r="T6" s="11"/>
      <c r="U6" s="8"/>
      <c r="V6" s="8"/>
      <c r="W6" s="8"/>
      <c r="X6" s="8"/>
      <c r="Y6" s="8"/>
      <c r="Z6" s="8"/>
      <c r="AA6" s="8"/>
      <c r="AB6" s="8"/>
      <c r="AC6" s="11"/>
      <c r="AD6" s="18"/>
      <c r="AE6" s="18"/>
      <c r="AF6" s="18"/>
      <c r="AG6" s="18"/>
      <c r="AH6" s="18"/>
      <c r="AI6" s="18"/>
      <c r="AJ6" s="2"/>
      <c r="AK6" s="2"/>
    </row>
    <row r="7" spans="1:37" x14ac:dyDescent="0.35">
      <c r="B7" s="11"/>
      <c r="C7" s="9">
        <v>128</v>
      </c>
      <c r="D7" s="9">
        <v>64</v>
      </c>
      <c r="E7" s="9">
        <v>32</v>
      </c>
      <c r="F7" s="9">
        <v>16</v>
      </c>
      <c r="G7" s="9">
        <v>8</v>
      </c>
      <c r="H7" s="9">
        <v>4</v>
      </c>
      <c r="I7" s="9">
        <v>2</v>
      </c>
      <c r="J7" s="9">
        <v>1</v>
      </c>
      <c r="K7" s="12"/>
      <c r="L7" s="9">
        <v>128</v>
      </c>
      <c r="M7" s="9">
        <v>64</v>
      </c>
      <c r="N7" s="9">
        <v>32</v>
      </c>
      <c r="O7" s="9">
        <v>16</v>
      </c>
      <c r="P7" s="9">
        <v>8</v>
      </c>
      <c r="Q7" s="9">
        <v>4</v>
      </c>
      <c r="R7" s="9">
        <v>2</v>
      </c>
      <c r="S7" s="9">
        <v>1</v>
      </c>
      <c r="T7" s="12"/>
      <c r="U7" s="9">
        <v>128</v>
      </c>
      <c r="V7" s="9">
        <v>64</v>
      </c>
      <c r="W7" s="9">
        <v>32</v>
      </c>
      <c r="X7" s="9">
        <v>16</v>
      </c>
      <c r="Y7" s="9">
        <v>8</v>
      </c>
      <c r="Z7" s="9">
        <v>4</v>
      </c>
      <c r="AA7" s="9">
        <v>2</v>
      </c>
      <c r="AB7" s="9">
        <v>1</v>
      </c>
      <c r="AC7" s="12"/>
      <c r="AD7" s="19">
        <v>128</v>
      </c>
      <c r="AE7" s="19">
        <v>64</v>
      </c>
      <c r="AF7" s="19">
        <v>32</v>
      </c>
      <c r="AG7" s="19">
        <v>16</v>
      </c>
      <c r="AH7" s="19">
        <v>8</v>
      </c>
      <c r="AI7" s="19">
        <v>4</v>
      </c>
      <c r="AJ7" s="3">
        <v>2</v>
      </c>
      <c r="AK7" s="3">
        <v>1</v>
      </c>
    </row>
    <row r="8" spans="1:37" x14ac:dyDescent="0.35">
      <c r="B8" s="11"/>
      <c r="C8" s="13" t="s">
        <v>5</v>
      </c>
      <c r="D8" s="13" t="s">
        <v>5</v>
      </c>
      <c r="E8" s="13" t="s">
        <v>5</v>
      </c>
      <c r="F8" s="13" t="s">
        <v>5</v>
      </c>
      <c r="G8" s="13" t="s">
        <v>5</v>
      </c>
      <c r="H8" s="13" t="s">
        <v>5</v>
      </c>
      <c r="I8" s="13" t="s">
        <v>5</v>
      </c>
      <c r="J8" s="13" t="s">
        <v>5</v>
      </c>
      <c r="K8" s="11"/>
      <c r="L8" s="13" t="s">
        <v>5</v>
      </c>
      <c r="M8" s="13" t="s">
        <v>5</v>
      </c>
      <c r="N8" s="13" t="s">
        <v>5</v>
      </c>
      <c r="O8" s="13" t="s">
        <v>5</v>
      </c>
      <c r="P8" s="13" t="s">
        <v>5</v>
      </c>
      <c r="Q8" s="13" t="s">
        <v>5</v>
      </c>
      <c r="R8" s="13" t="s">
        <v>5</v>
      </c>
      <c r="S8" s="13" t="s">
        <v>5</v>
      </c>
      <c r="T8" s="11"/>
      <c r="U8" s="13" t="s">
        <v>5</v>
      </c>
      <c r="V8" s="13" t="s">
        <v>5</v>
      </c>
      <c r="W8" s="13" t="s">
        <v>5</v>
      </c>
      <c r="X8" s="13" t="s">
        <v>5</v>
      </c>
      <c r="Y8" s="13" t="s">
        <v>5</v>
      </c>
      <c r="Z8" s="13" t="s">
        <v>5</v>
      </c>
      <c r="AA8" s="13" t="s">
        <v>5</v>
      </c>
      <c r="AB8" s="13" t="s">
        <v>5</v>
      </c>
      <c r="AC8" s="11"/>
      <c r="AD8" s="13" t="s">
        <v>5</v>
      </c>
      <c r="AE8" s="13" t="s">
        <v>5</v>
      </c>
      <c r="AF8" s="13" t="s">
        <v>5</v>
      </c>
      <c r="AG8" s="13" t="s">
        <v>5</v>
      </c>
      <c r="AH8" s="13" t="s">
        <v>5</v>
      </c>
      <c r="AI8" s="13" t="s">
        <v>5</v>
      </c>
      <c r="AJ8" s="13" t="s">
        <v>5</v>
      </c>
      <c r="AK8" s="13" t="s">
        <v>5</v>
      </c>
    </row>
    <row r="9" spans="1:37" x14ac:dyDescent="0.35">
      <c r="A9" s="2" t="s">
        <v>1</v>
      </c>
      <c r="B9" s="11"/>
      <c r="C9" s="3">
        <v>1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12"/>
      <c r="L9" s="3">
        <v>1</v>
      </c>
      <c r="M9" s="3">
        <v>0</v>
      </c>
      <c r="N9" s="3">
        <v>1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12"/>
      <c r="U9" s="3">
        <v>0</v>
      </c>
      <c r="V9" s="3">
        <v>1</v>
      </c>
      <c r="W9" s="3">
        <v>0</v>
      </c>
      <c r="X9" s="3">
        <v>0</v>
      </c>
      <c r="Y9" s="3">
        <v>1</v>
      </c>
      <c r="Z9" s="3">
        <v>0</v>
      </c>
      <c r="AA9" s="3">
        <v>0</v>
      </c>
      <c r="AB9" s="3">
        <v>1</v>
      </c>
      <c r="AC9" s="12"/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</row>
    <row r="10" spans="1:37" x14ac:dyDescent="0.35">
      <c r="B10" s="11"/>
      <c r="F10">
        <v>192</v>
      </c>
      <c r="K10" s="11"/>
      <c r="O10">
        <v>168</v>
      </c>
      <c r="T10" s="11"/>
      <c r="X10">
        <v>73</v>
      </c>
      <c r="AG10">
        <v>0</v>
      </c>
    </row>
    <row r="11" spans="1:37" x14ac:dyDescent="0.35">
      <c r="A11" s="4" t="s">
        <v>2</v>
      </c>
      <c r="B11" s="11"/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12"/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12"/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12"/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</row>
    <row r="12" spans="1:37" x14ac:dyDescent="0.35">
      <c r="B12" s="11"/>
      <c r="K12" s="11"/>
      <c r="T12" s="11"/>
      <c r="AC12" s="11"/>
    </row>
    <row r="13" spans="1:37" x14ac:dyDescent="0.35">
      <c r="A13" s="6" t="s">
        <v>3</v>
      </c>
      <c r="B13" s="12"/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12"/>
      <c r="L13" s="7">
        <v>1</v>
      </c>
      <c r="M13" s="7">
        <v>0</v>
      </c>
      <c r="N13" s="7">
        <v>1</v>
      </c>
      <c r="O13" s="7">
        <v>0</v>
      </c>
      <c r="P13" s="7">
        <v>1</v>
      </c>
      <c r="Q13" s="7">
        <v>0</v>
      </c>
      <c r="R13" s="7">
        <v>0</v>
      </c>
      <c r="S13" s="7">
        <v>0</v>
      </c>
      <c r="T13" s="12"/>
      <c r="U13" s="7">
        <v>0</v>
      </c>
      <c r="V13" s="7">
        <v>1</v>
      </c>
      <c r="W13" s="7">
        <v>0</v>
      </c>
      <c r="X13" s="7">
        <v>0</v>
      </c>
      <c r="Y13" s="7">
        <v>1</v>
      </c>
      <c r="Z13" s="7">
        <v>0</v>
      </c>
      <c r="AA13" s="7">
        <v>0</v>
      </c>
      <c r="AB13" s="7">
        <v>1</v>
      </c>
      <c r="AC13" s="12"/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</row>
    <row r="14" spans="1:37" x14ac:dyDescent="0.35">
      <c r="B14" s="11"/>
      <c r="K14" s="11"/>
      <c r="T14" s="11"/>
      <c r="AC14" s="11"/>
    </row>
    <row r="15" spans="1:37" x14ac:dyDescent="0.35">
      <c r="A15" s="10" t="s">
        <v>4</v>
      </c>
      <c r="B15" s="11"/>
      <c r="C15" s="7">
        <v>1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12"/>
      <c r="L15" s="7">
        <v>1</v>
      </c>
      <c r="M15" s="7">
        <v>0</v>
      </c>
      <c r="N15" s="7">
        <v>1</v>
      </c>
      <c r="O15" s="7">
        <v>0</v>
      </c>
      <c r="P15" s="7">
        <v>1</v>
      </c>
      <c r="Q15" s="7">
        <v>0</v>
      </c>
      <c r="R15" s="7">
        <v>0</v>
      </c>
      <c r="S15" s="7">
        <v>0</v>
      </c>
      <c r="T15" s="12"/>
      <c r="U15" s="7">
        <v>0</v>
      </c>
      <c r="V15" s="7">
        <v>1</v>
      </c>
      <c r="W15" s="7">
        <v>0</v>
      </c>
      <c r="X15" s="7">
        <v>0</v>
      </c>
      <c r="Y15" s="7">
        <v>1</v>
      </c>
      <c r="Z15" s="7">
        <v>0</v>
      </c>
      <c r="AA15" s="7">
        <v>0</v>
      </c>
      <c r="AB15" s="7">
        <v>1</v>
      </c>
      <c r="AC15" s="11"/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</row>
    <row r="16" spans="1:37" x14ac:dyDescent="0.35">
      <c r="B16" s="11"/>
      <c r="F16">
        <v>192</v>
      </c>
      <c r="K16" s="11"/>
      <c r="O16">
        <v>168</v>
      </c>
      <c r="T16" s="11"/>
      <c r="X16">
        <v>73</v>
      </c>
      <c r="AG16">
        <v>0</v>
      </c>
    </row>
    <row r="17" spans="1:49" x14ac:dyDescent="0.35">
      <c r="A17" s="10" t="s">
        <v>16</v>
      </c>
      <c r="B17" s="11"/>
      <c r="K17" s="11"/>
      <c r="T17" s="11"/>
    </row>
    <row r="18" spans="1:49" x14ac:dyDescent="0.35">
      <c r="AN18" s="29" t="s">
        <v>84</v>
      </c>
      <c r="AO18" s="28">
        <v>255255255240</v>
      </c>
      <c r="AP18" s="21" t="s">
        <v>85</v>
      </c>
      <c r="AR18" s="24" t="s">
        <v>19</v>
      </c>
      <c r="AS18" s="21" t="s">
        <v>79</v>
      </c>
      <c r="AT18" s="21" t="s">
        <v>85</v>
      </c>
      <c r="AU18" s="35" t="s">
        <v>88</v>
      </c>
      <c r="AV18" t="s">
        <v>89</v>
      </c>
      <c r="AW18">
        <f>2^4-2</f>
        <v>14</v>
      </c>
    </row>
    <row r="19" spans="1:49" x14ac:dyDescent="0.35">
      <c r="AR19" s="30"/>
      <c r="AS19" s="21"/>
      <c r="AT19" s="21"/>
    </row>
    <row r="20" spans="1:49" x14ac:dyDescent="0.35">
      <c r="AR20" s="30"/>
      <c r="AS20" s="21"/>
      <c r="AT20" s="21"/>
    </row>
    <row r="21" spans="1:49" x14ac:dyDescent="0.35">
      <c r="AR21" s="30"/>
      <c r="AS21" s="21"/>
      <c r="AT21" s="21"/>
    </row>
    <row r="22" spans="1:49" x14ac:dyDescent="0.35">
      <c r="AN22" s="29" t="s">
        <v>84</v>
      </c>
      <c r="AO22" s="28">
        <v>255255255248</v>
      </c>
      <c r="AP22" s="21" t="s">
        <v>86</v>
      </c>
      <c r="AR22" s="24" t="s">
        <v>19</v>
      </c>
      <c r="AS22" s="21" t="s">
        <v>20</v>
      </c>
      <c r="AT22" s="21" t="s">
        <v>86</v>
      </c>
      <c r="AU22" s="35" t="s">
        <v>88</v>
      </c>
      <c r="AV22" t="s">
        <v>90</v>
      </c>
      <c r="AW22">
        <f>2^3-2</f>
        <v>6</v>
      </c>
    </row>
    <row r="23" spans="1:49" x14ac:dyDescent="0.35">
      <c r="AR23" s="31"/>
    </row>
    <row r="24" spans="1:49" x14ac:dyDescent="0.35">
      <c r="AN24" s="29" t="s">
        <v>84</v>
      </c>
      <c r="AO24" s="28">
        <v>255255255252</v>
      </c>
      <c r="AP24" s="21" t="s">
        <v>18</v>
      </c>
      <c r="AR24" s="22" t="s">
        <v>19</v>
      </c>
      <c r="AS24" t="s">
        <v>21</v>
      </c>
      <c r="AT24" t="s">
        <v>18</v>
      </c>
      <c r="AU24" s="35" t="s">
        <v>88</v>
      </c>
      <c r="AV24" t="s">
        <v>91</v>
      </c>
      <c r="AW24">
        <f>2^2-2</f>
        <v>2</v>
      </c>
    </row>
    <row r="25" spans="1:49" x14ac:dyDescent="0.35">
      <c r="AN25" s="29" t="s">
        <v>84</v>
      </c>
      <c r="AO25" s="28">
        <v>255255255252</v>
      </c>
      <c r="AP25" s="21" t="s">
        <v>18</v>
      </c>
      <c r="AR25" s="22" t="s">
        <v>19</v>
      </c>
      <c r="AS25" t="s">
        <v>22</v>
      </c>
      <c r="AT25" t="s">
        <v>18</v>
      </c>
      <c r="AU25" s="35" t="s">
        <v>88</v>
      </c>
      <c r="AV25" t="s">
        <v>91</v>
      </c>
      <c r="AW25">
        <f t="shared" ref="AW25:AW81" si="0">2^2-2</f>
        <v>2</v>
      </c>
    </row>
    <row r="26" spans="1:49" x14ac:dyDescent="0.35">
      <c r="AN26" s="29" t="s">
        <v>84</v>
      </c>
      <c r="AO26" s="28">
        <v>255255255252</v>
      </c>
      <c r="AP26" s="21" t="s">
        <v>18</v>
      </c>
      <c r="AR26" s="22" t="s">
        <v>19</v>
      </c>
      <c r="AS26" t="s">
        <v>23</v>
      </c>
      <c r="AT26" t="s">
        <v>18</v>
      </c>
      <c r="AU26" s="35" t="s">
        <v>88</v>
      </c>
      <c r="AV26" t="s">
        <v>91</v>
      </c>
      <c r="AW26">
        <f t="shared" si="0"/>
        <v>2</v>
      </c>
    </row>
    <row r="27" spans="1:49" x14ac:dyDescent="0.35">
      <c r="AN27" s="29" t="s">
        <v>84</v>
      </c>
      <c r="AO27" s="28">
        <v>255255255252</v>
      </c>
      <c r="AP27" s="21" t="s">
        <v>18</v>
      </c>
      <c r="AR27" s="22" t="s">
        <v>19</v>
      </c>
      <c r="AS27" t="s">
        <v>24</v>
      </c>
      <c r="AT27" t="s">
        <v>18</v>
      </c>
      <c r="AU27" s="35" t="s">
        <v>88</v>
      </c>
      <c r="AV27" t="s">
        <v>91</v>
      </c>
      <c r="AW27">
        <f t="shared" si="0"/>
        <v>2</v>
      </c>
    </row>
    <row r="28" spans="1:49" x14ac:dyDescent="0.35">
      <c r="AN28" s="29" t="s">
        <v>84</v>
      </c>
      <c r="AO28" s="28">
        <v>255255255252</v>
      </c>
      <c r="AP28" s="21" t="s">
        <v>18</v>
      </c>
      <c r="AR28" s="22" t="s">
        <v>19</v>
      </c>
      <c r="AS28" t="s">
        <v>25</v>
      </c>
      <c r="AT28" t="s">
        <v>18</v>
      </c>
      <c r="AU28" s="35" t="s">
        <v>88</v>
      </c>
      <c r="AV28" t="s">
        <v>91</v>
      </c>
      <c r="AW28">
        <f t="shared" si="0"/>
        <v>2</v>
      </c>
    </row>
    <row r="29" spans="1:49" x14ac:dyDescent="0.35">
      <c r="AN29" s="29" t="s">
        <v>84</v>
      </c>
      <c r="AO29" s="28">
        <v>255255255252</v>
      </c>
      <c r="AP29" s="21" t="s">
        <v>18</v>
      </c>
      <c r="AR29" s="22" t="s">
        <v>19</v>
      </c>
      <c r="AS29" t="s">
        <v>26</v>
      </c>
      <c r="AT29" t="s">
        <v>18</v>
      </c>
      <c r="AU29" s="35" t="s">
        <v>88</v>
      </c>
      <c r="AV29" t="s">
        <v>91</v>
      </c>
      <c r="AW29">
        <f t="shared" si="0"/>
        <v>2</v>
      </c>
    </row>
    <row r="30" spans="1:49" x14ac:dyDescent="0.35">
      <c r="AN30" s="29" t="s">
        <v>84</v>
      </c>
      <c r="AO30" s="28">
        <v>255255255252</v>
      </c>
      <c r="AP30" s="21" t="s">
        <v>18</v>
      </c>
      <c r="AR30" s="22" t="s">
        <v>19</v>
      </c>
      <c r="AS30" t="s">
        <v>27</v>
      </c>
      <c r="AT30" t="s">
        <v>18</v>
      </c>
      <c r="AU30" s="35" t="s">
        <v>88</v>
      </c>
      <c r="AV30" t="s">
        <v>91</v>
      </c>
      <c r="AW30">
        <f t="shared" si="0"/>
        <v>2</v>
      </c>
    </row>
    <row r="31" spans="1:49" x14ac:dyDescent="0.35">
      <c r="AN31" s="29" t="s">
        <v>84</v>
      </c>
      <c r="AO31" s="28">
        <v>255255255252</v>
      </c>
      <c r="AP31" s="21" t="s">
        <v>18</v>
      </c>
      <c r="AR31" s="22" t="s">
        <v>19</v>
      </c>
      <c r="AS31" t="s">
        <v>28</v>
      </c>
      <c r="AT31" t="s">
        <v>18</v>
      </c>
      <c r="AU31" s="35" t="s">
        <v>88</v>
      </c>
      <c r="AV31" t="s">
        <v>91</v>
      </c>
      <c r="AW31">
        <f t="shared" si="0"/>
        <v>2</v>
      </c>
    </row>
    <row r="32" spans="1:49" x14ac:dyDescent="0.35">
      <c r="AN32" s="29" t="s">
        <v>84</v>
      </c>
      <c r="AO32" s="28">
        <v>255255255252</v>
      </c>
      <c r="AP32" s="21" t="s">
        <v>18</v>
      </c>
      <c r="AR32" s="22" t="s">
        <v>19</v>
      </c>
      <c r="AS32" t="s">
        <v>29</v>
      </c>
      <c r="AT32" t="s">
        <v>18</v>
      </c>
      <c r="AU32" s="35" t="s">
        <v>88</v>
      </c>
      <c r="AV32" t="s">
        <v>91</v>
      </c>
      <c r="AW32">
        <f t="shared" si="0"/>
        <v>2</v>
      </c>
    </row>
    <row r="33" spans="40:49" x14ac:dyDescent="0.35">
      <c r="AN33" s="29" t="s">
        <v>84</v>
      </c>
      <c r="AO33" s="28">
        <v>255255255252</v>
      </c>
      <c r="AP33" s="21" t="s">
        <v>18</v>
      </c>
      <c r="AR33" s="22" t="s">
        <v>19</v>
      </c>
      <c r="AS33" t="s">
        <v>30</v>
      </c>
      <c r="AT33" t="s">
        <v>18</v>
      </c>
      <c r="AU33" s="35" t="s">
        <v>88</v>
      </c>
      <c r="AV33" t="s">
        <v>91</v>
      </c>
      <c r="AW33">
        <f t="shared" si="0"/>
        <v>2</v>
      </c>
    </row>
    <row r="34" spans="40:49" x14ac:dyDescent="0.35">
      <c r="AN34" s="29" t="s">
        <v>84</v>
      </c>
      <c r="AO34" s="28">
        <v>255255255252</v>
      </c>
      <c r="AP34" s="21" t="s">
        <v>18</v>
      </c>
      <c r="AR34" s="22" t="s">
        <v>19</v>
      </c>
      <c r="AS34" t="s">
        <v>31</v>
      </c>
      <c r="AT34" t="s">
        <v>18</v>
      </c>
      <c r="AU34" s="35" t="s">
        <v>88</v>
      </c>
      <c r="AV34" t="s">
        <v>91</v>
      </c>
      <c r="AW34">
        <f t="shared" si="0"/>
        <v>2</v>
      </c>
    </row>
    <row r="35" spans="40:49" x14ac:dyDescent="0.35">
      <c r="AN35" s="29" t="s">
        <v>84</v>
      </c>
      <c r="AO35" s="28">
        <v>255255255252</v>
      </c>
      <c r="AP35" s="21" t="s">
        <v>18</v>
      </c>
      <c r="AR35" s="22" t="s">
        <v>19</v>
      </c>
      <c r="AS35" t="s">
        <v>32</v>
      </c>
      <c r="AT35" t="s">
        <v>18</v>
      </c>
      <c r="AU35" s="35" t="s">
        <v>88</v>
      </c>
      <c r="AV35" t="s">
        <v>91</v>
      </c>
      <c r="AW35">
        <f t="shared" si="0"/>
        <v>2</v>
      </c>
    </row>
    <row r="36" spans="40:49" x14ac:dyDescent="0.35">
      <c r="AN36" s="29" t="s">
        <v>84</v>
      </c>
      <c r="AO36" s="28">
        <v>255255255252</v>
      </c>
      <c r="AP36" s="21" t="s">
        <v>18</v>
      </c>
      <c r="AR36" s="22" t="s">
        <v>19</v>
      </c>
      <c r="AS36" t="s">
        <v>33</v>
      </c>
      <c r="AT36" t="s">
        <v>18</v>
      </c>
      <c r="AU36" s="35" t="s">
        <v>88</v>
      </c>
      <c r="AV36" t="s">
        <v>91</v>
      </c>
      <c r="AW36">
        <f t="shared" si="0"/>
        <v>2</v>
      </c>
    </row>
    <row r="37" spans="40:49" x14ac:dyDescent="0.35">
      <c r="AN37" s="29" t="s">
        <v>84</v>
      </c>
      <c r="AO37" s="28">
        <v>255255255252</v>
      </c>
      <c r="AP37" s="21" t="s">
        <v>18</v>
      </c>
      <c r="AR37" s="22" t="s">
        <v>19</v>
      </c>
      <c r="AS37" t="s">
        <v>34</v>
      </c>
      <c r="AT37" t="s">
        <v>18</v>
      </c>
      <c r="AU37" s="35" t="s">
        <v>88</v>
      </c>
      <c r="AV37" t="s">
        <v>91</v>
      </c>
      <c r="AW37">
        <f t="shared" si="0"/>
        <v>2</v>
      </c>
    </row>
    <row r="38" spans="40:49" x14ac:dyDescent="0.35">
      <c r="AN38" s="29" t="s">
        <v>84</v>
      </c>
      <c r="AO38" s="28">
        <v>255255255252</v>
      </c>
      <c r="AP38" s="21" t="s">
        <v>18</v>
      </c>
      <c r="AR38" s="22" t="s">
        <v>19</v>
      </c>
      <c r="AS38" t="s">
        <v>35</v>
      </c>
      <c r="AT38" t="s">
        <v>18</v>
      </c>
      <c r="AU38" s="35" t="s">
        <v>88</v>
      </c>
      <c r="AV38" t="s">
        <v>91</v>
      </c>
      <c r="AW38">
        <f t="shared" si="0"/>
        <v>2</v>
      </c>
    </row>
    <row r="39" spans="40:49" x14ac:dyDescent="0.35">
      <c r="AN39" s="29" t="s">
        <v>84</v>
      </c>
      <c r="AO39" s="28">
        <v>255255255252</v>
      </c>
      <c r="AP39" s="21" t="s">
        <v>18</v>
      </c>
      <c r="AR39" s="22" t="s">
        <v>19</v>
      </c>
      <c r="AS39" t="s">
        <v>36</v>
      </c>
      <c r="AT39" t="s">
        <v>18</v>
      </c>
      <c r="AU39" s="35" t="s">
        <v>88</v>
      </c>
      <c r="AV39" t="s">
        <v>91</v>
      </c>
      <c r="AW39">
        <f t="shared" si="0"/>
        <v>2</v>
      </c>
    </row>
    <row r="40" spans="40:49" x14ac:dyDescent="0.35">
      <c r="AN40" s="29" t="s">
        <v>84</v>
      </c>
      <c r="AO40" s="28">
        <v>255255255252</v>
      </c>
      <c r="AP40" s="21" t="s">
        <v>18</v>
      </c>
      <c r="AR40" s="22" t="s">
        <v>19</v>
      </c>
      <c r="AS40" t="s">
        <v>37</v>
      </c>
      <c r="AT40" t="s">
        <v>18</v>
      </c>
      <c r="AU40" s="35" t="s">
        <v>88</v>
      </c>
      <c r="AV40" t="s">
        <v>91</v>
      </c>
      <c r="AW40">
        <f t="shared" si="0"/>
        <v>2</v>
      </c>
    </row>
    <row r="41" spans="40:49" x14ac:dyDescent="0.35">
      <c r="AN41" s="29" t="s">
        <v>84</v>
      </c>
      <c r="AO41" s="28">
        <v>255255255252</v>
      </c>
      <c r="AP41" s="21" t="s">
        <v>18</v>
      </c>
      <c r="AR41" s="22" t="s">
        <v>19</v>
      </c>
      <c r="AS41" t="s">
        <v>38</v>
      </c>
      <c r="AT41" t="s">
        <v>18</v>
      </c>
      <c r="AU41" s="35" t="s">
        <v>88</v>
      </c>
      <c r="AV41" t="s">
        <v>91</v>
      </c>
      <c r="AW41">
        <f t="shared" si="0"/>
        <v>2</v>
      </c>
    </row>
    <row r="42" spans="40:49" x14ac:dyDescent="0.35">
      <c r="AN42" s="29" t="s">
        <v>84</v>
      </c>
      <c r="AO42" s="28">
        <v>255255255252</v>
      </c>
      <c r="AP42" s="21" t="s">
        <v>18</v>
      </c>
      <c r="AR42" s="22" t="s">
        <v>19</v>
      </c>
      <c r="AS42" t="s">
        <v>39</v>
      </c>
      <c r="AT42" t="s">
        <v>18</v>
      </c>
      <c r="AU42" s="35" t="s">
        <v>88</v>
      </c>
      <c r="AV42" t="s">
        <v>91</v>
      </c>
      <c r="AW42">
        <f t="shared" si="0"/>
        <v>2</v>
      </c>
    </row>
    <row r="43" spans="40:49" x14ac:dyDescent="0.35">
      <c r="AN43" s="29" t="s">
        <v>84</v>
      </c>
      <c r="AO43" s="28">
        <v>255255255252</v>
      </c>
      <c r="AP43" s="21" t="s">
        <v>18</v>
      </c>
      <c r="AR43" s="22" t="s">
        <v>19</v>
      </c>
      <c r="AS43" t="s">
        <v>40</v>
      </c>
      <c r="AT43" t="s">
        <v>18</v>
      </c>
      <c r="AU43" s="35" t="s">
        <v>88</v>
      </c>
      <c r="AV43" t="s">
        <v>91</v>
      </c>
      <c r="AW43">
        <f t="shared" si="0"/>
        <v>2</v>
      </c>
    </row>
    <row r="44" spans="40:49" x14ac:dyDescent="0.35">
      <c r="AN44" s="29" t="s">
        <v>84</v>
      </c>
      <c r="AO44" s="28">
        <v>255255255252</v>
      </c>
      <c r="AP44" s="21" t="s">
        <v>18</v>
      </c>
      <c r="AR44" s="22" t="s">
        <v>19</v>
      </c>
      <c r="AS44" t="s">
        <v>41</v>
      </c>
      <c r="AT44" t="s">
        <v>18</v>
      </c>
      <c r="AU44" s="35" t="s">
        <v>88</v>
      </c>
      <c r="AV44" t="s">
        <v>91</v>
      </c>
      <c r="AW44">
        <f t="shared" si="0"/>
        <v>2</v>
      </c>
    </row>
    <row r="45" spans="40:49" x14ac:dyDescent="0.35">
      <c r="AN45" s="29" t="s">
        <v>84</v>
      </c>
      <c r="AO45" s="28">
        <v>255255255252</v>
      </c>
      <c r="AP45" s="21" t="s">
        <v>18</v>
      </c>
      <c r="AR45" s="22" t="s">
        <v>19</v>
      </c>
      <c r="AS45" t="s">
        <v>42</v>
      </c>
      <c r="AT45" t="s">
        <v>18</v>
      </c>
      <c r="AU45" s="35" t="s">
        <v>88</v>
      </c>
      <c r="AV45" t="s">
        <v>91</v>
      </c>
      <c r="AW45">
        <f t="shared" si="0"/>
        <v>2</v>
      </c>
    </row>
    <row r="46" spans="40:49" x14ac:dyDescent="0.35">
      <c r="AN46" s="29" t="s">
        <v>84</v>
      </c>
      <c r="AO46" s="28">
        <v>255255255252</v>
      </c>
      <c r="AP46" s="21" t="s">
        <v>18</v>
      </c>
      <c r="AR46" s="22" t="s">
        <v>19</v>
      </c>
      <c r="AS46" t="s">
        <v>43</v>
      </c>
      <c r="AT46" t="s">
        <v>18</v>
      </c>
      <c r="AU46" s="35" t="s">
        <v>88</v>
      </c>
      <c r="AV46" t="s">
        <v>91</v>
      </c>
      <c r="AW46">
        <f t="shared" si="0"/>
        <v>2</v>
      </c>
    </row>
    <row r="47" spans="40:49" x14ac:dyDescent="0.35">
      <c r="AN47" s="29" t="s">
        <v>84</v>
      </c>
      <c r="AO47" s="28">
        <v>255255255252</v>
      </c>
      <c r="AP47" s="21" t="s">
        <v>18</v>
      </c>
      <c r="AR47" s="22" t="s">
        <v>19</v>
      </c>
      <c r="AS47" t="s">
        <v>44</v>
      </c>
      <c r="AT47" t="s">
        <v>18</v>
      </c>
      <c r="AU47" s="35" t="s">
        <v>88</v>
      </c>
      <c r="AV47" t="s">
        <v>91</v>
      </c>
      <c r="AW47">
        <f t="shared" si="0"/>
        <v>2</v>
      </c>
    </row>
    <row r="48" spans="40:49" x14ac:dyDescent="0.35">
      <c r="AN48" s="29" t="s">
        <v>84</v>
      </c>
      <c r="AO48" s="28">
        <v>255255255252</v>
      </c>
      <c r="AP48" s="21" t="s">
        <v>18</v>
      </c>
      <c r="AR48" s="22" t="s">
        <v>19</v>
      </c>
      <c r="AS48" t="s">
        <v>45</v>
      </c>
      <c r="AT48" t="s">
        <v>18</v>
      </c>
      <c r="AU48" s="35" t="s">
        <v>88</v>
      </c>
      <c r="AV48" t="s">
        <v>91</v>
      </c>
      <c r="AW48">
        <f t="shared" si="0"/>
        <v>2</v>
      </c>
    </row>
    <row r="49" spans="40:49" x14ac:dyDescent="0.35">
      <c r="AN49" s="29" t="s">
        <v>84</v>
      </c>
      <c r="AO49" s="28">
        <v>255255255252</v>
      </c>
      <c r="AP49" s="21" t="s">
        <v>18</v>
      </c>
      <c r="AR49" s="22" t="s">
        <v>19</v>
      </c>
      <c r="AS49" t="s">
        <v>46</v>
      </c>
      <c r="AT49" t="s">
        <v>18</v>
      </c>
      <c r="AU49" s="35" t="s">
        <v>88</v>
      </c>
      <c r="AV49" t="s">
        <v>91</v>
      </c>
      <c r="AW49">
        <f t="shared" si="0"/>
        <v>2</v>
      </c>
    </row>
    <row r="50" spans="40:49" x14ac:dyDescent="0.35">
      <c r="AN50" s="29" t="s">
        <v>84</v>
      </c>
      <c r="AO50" s="28">
        <v>255255255252</v>
      </c>
      <c r="AP50" s="21" t="s">
        <v>18</v>
      </c>
      <c r="AR50" s="22" t="s">
        <v>19</v>
      </c>
      <c r="AS50" t="s">
        <v>47</v>
      </c>
      <c r="AT50" t="s">
        <v>18</v>
      </c>
      <c r="AU50" s="35" t="s">
        <v>88</v>
      </c>
      <c r="AV50" t="s">
        <v>91</v>
      </c>
      <c r="AW50">
        <f t="shared" si="0"/>
        <v>2</v>
      </c>
    </row>
    <row r="51" spans="40:49" x14ac:dyDescent="0.35">
      <c r="AN51" s="29" t="s">
        <v>84</v>
      </c>
      <c r="AO51" s="28">
        <v>255255255252</v>
      </c>
      <c r="AP51" s="21" t="s">
        <v>18</v>
      </c>
      <c r="AR51" s="22" t="s">
        <v>19</v>
      </c>
      <c r="AS51" t="s">
        <v>48</v>
      </c>
      <c r="AT51" t="s">
        <v>18</v>
      </c>
      <c r="AU51" s="35" t="s">
        <v>88</v>
      </c>
      <c r="AV51" t="s">
        <v>91</v>
      </c>
      <c r="AW51">
        <f t="shared" si="0"/>
        <v>2</v>
      </c>
    </row>
    <row r="52" spans="40:49" x14ac:dyDescent="0.35">
      <c r="AN52" s="29" t="s">
        <v>84</v>
      </c>
      <c r="AO52" s="28">
        <v>255255255252</v>
      </c>
      <c r="AP52" s="21" t="s">
        <v>18</v>
      </c>
      <c r="AR52" s="22" t="s">
        <v>19</v>
      </c>
      <c r="AS52" t="s">
        <v>49</v>
      </c>
      <c r="AT52" t="s">
        <v>18</v>
      </c>
      <c r="AU52" s="35" t="s">
        <v>88</v>
      </c>
      <c r="AV52" t="s">
        <v>91</v>
      </c>
      <c r="AW52">
        <f t="shared" si="0"/>
        <v>2</v>
      </c>
    </row>
    <row r="53" spans="40:49" x14ac:dyDescent="0.35">
      <c r="AN53" s="29" t="s">
        <v>84</v>
      </c>
      <c r="AO53" s="28">
        <v>255255255252</v>
      </c>
      <c r="AP53" s="21" t="s">
        <v>18</v>
      </c>
      <c r="AR53" s="22" t="s">
        <v>19</v>
      </c>
      <c r="AS53" t="s">
        <v>50</v>
      </c>
      <c r="AT53" t="s">
        <v>18</v>
      </c>
      <c r="AU53" s="35" t="s">
        <v>88</v>
      </c>
      <c r="AV53" t="s">
        <v>91</v>
      </c>
      <c r="AW53">
        <f t="shared" si="0"/>
        <v>2</v>
      </c>
    </row>
    <row r="54" spans="40:49" x14ac:dyDescent="0.35">
      <c r="AN54" s="29" t="s">
        <v>84</v>
      </c>
      <c r="AO54" s="28">
        <v>255255255252</v>
      </c>
      <c r="AP54" s="21" t="s">
        <v>18</v>
      </c>
      <c r="AR54" s="22" t="s">
        <v>19</v>
      </c>
      <c r="AS54" t="s">
        <v>51</v>
      </c>
      <c r="AT54" t="s">
        <v>18</v>
      </c>
      <c r="AU54" s="35" t="s">
        <v>88</v>
      </c>
      <c r="AV54" t="s">
        <v>91</v>
      </c>
      <c r="AW54">
        <f t="shared" si="0"/>
        <v>2</v>
      </c>
    </row>
    <row r="55" spans="40:49" x14ac:dyDescent="0.35">
      <c r="AN55" s="29" t="s">
        <v>84</v>
      </c>
      <c r="AO55" s="28">
        <v>255255255252</v>
      </c>
      <c r="AP55" s="21" t="s">
        <v>18</v>
      </c>
      <c r="AR55" s="22" t="s">
        <v>19</v>
      </c>
      <c r="AS55" t="s">
        <v>52</v>
      </c>
      <c r="AT55" t="s">
        <v>18</v>
      </c>
      <c r="AU55" s="35" t="s">
        <v>88</v>
      </c>
      <c r="AV55" t="s">
        <v>91</v>
      </c>
      <c r="AW55">
        <f t="shared" si="0"/>
        <v>2</v>
      </c>
    </row>
    <row r="56" spans="40:49" x14ac:dyDescent="0.35">
      <c r="AN56" s="29" t="s">
        <v>84</v>
      </c>
      <c r="AO56" s="28">
        <v>255255255252</v>
      </c>
      <c r="AP56" s="21" t="s">
        <v>18</v>
      </c>
      <c r="AR56" s="22" t="s">
        <v>19</v>
      </c>
      <c r="AS56" t="s">
        <v>53</v>
      </c>
      <c r="AT56" t="s">
        <v>18</v>
      </c>
      <c r="AU56" s="35" t="s">
        <v>88</v>
      </c>
      <c r="AV56" t="s">
        <v>91</v>
      </c>
      <c r="AW56">
        <f t="shared" si="0"/>
        <v>2</v>
      </c>
    </row>
    <row r="57" spans="40:49" x14ac:dyDescent="0.35">
      <c r="AN57" s="29" t="s">
        <v>84</v>
      </c>
      <c r="AO57" s="28">
        <v>255255255252</v>
      </c>
      <c r="AP57" s="21" t="s">
        <v>18</v>
      </c>
      <c r="AR57" s="22" t="s">
        <v>19</v>
      </c>
      <c r="AS57" t="s">
        <v>54</v>
      </c>
      <c r="AT57" t="s">
        <v>18</v>
      </c>
      <c r="AU57" s="35" t="s">
        <v>88</v>
      </c>
      <c r="AV57" t="s">
        <v>91</v>
      </c>
      <c r="AW57">
        <f t="shared" si="0"/>
        <v>2</v>
      </c>
    </row>
    <row r="58" spans="40:49" x14ac:dyDescent="0.35">
      <c r="AN58" s="29" t="s">
        <v>84</v>
      </c>
      <c r="AO58" s="28">
        <v>255255255252</v>
      </c>
      <c r="AP58" s="21" t="s">
        <v>18</v>
      </c>
      <c r="AR58" s="22" t="s">
        <v>19</v>
      </c>
      <c r="AS58" t="s">
        <v>55</v>
      </c>
      <c r="AT58" t="s">
        <v>18</v>
      </c>
      <c r="AU58" s="35" t="s">
        <v>88</v>
      </c>
      <c r="AV58" t="s">
        <v>91</v>
      </c>
      <c r="AW58">
        <f t="shared" si="0"/>
        <v>2</v>
      </c>
    </row>
    <row r="59" spans="40:49" x14ac:dyDescent="0.35">
      <c r="AN59" s="29" t="s">
        <v>84</v>
      </c>
      <c r="AO59" s="28">
        <v>255255255252</v>
      </c>
      <c r="AP59" s="21" t="s">
        <v>18</v>
      </c>
      <c r="AR59" s="22" t="s">
        <v>19</v>
      </c>
      <c r="AS59" t="s">
        <v>56</v>
      </c>
      <c r="AT59" t="s">
        <v>18</v>
      </c>
      <c r="AU59" s="35" t="s">
        <v>88</v>
      </c>
      <c r="AV59" t="s">
        <v>91</v>
      </c>
      <c r="AW59">
        <f t="shared" si="0"/>
        <v>2</v>
      </c>
    </row>
    <row r="60" spans="40:49" x14ac:dyDescent="0.35">
      <c r="AN60" s="29" t="s">
        <v>84</v>
      </c>
      <c r="AO60" s="28">
        <v>255255255252</v>
      </c>
      <c r="AP60" s="21" t="s">
        <v>18</v>
      </c>
      <c r="AR60" s="22" t="s">
        <v>19</v>
      </c>
      <c r="AS60" t="s">
        <v>57</v>
      </c>
      <c r="AT60" t="s">
        <v>18</v>
      </c>
      <c r="AU60" s="35" t="s">
        <v>88</v>
      </c>
      <c r="AV60" t="s">
        <v>91</v>
      </c>
      <c r="AW60">
        <f t="shared" si="0"/>
        <v>2</v>
      </c>
    </row>
    <row r="61" spans="40:49" x14ac:dyDescent="0.35">
      <c r="AN61" s="29" t="s">
        <v>84</v>
      </c>
      <c r="AO61" s="28">
        <v>255255255252</v>
      </c>
      <c r="AP61" s="21" t="s">
        <v>18</v>
      </c>
      <c r="AR61" s="22" t="s">
        <v>19</v>
      </c>
      <c r="AS61" t="s">
        <v>58</v>
      </c>
      <c r="AT61" t="s">
        <v>18</v>
      </c>
      <c r="AU61" s="35" t="s">
        <v>88</v>
      </c>
      <c r="AV61" t="s">
        <v>91</v>
      </c>
      <c r="AW61">
        <f t="shared" si="0"/>
        <v>2</v>
      </c>
    </row>
    <row r="62" spans="40:49" x14ac:dyDescent="0.35">
      <c r="AN62" s="29" t="s">
        <v>84</v>
      </c>
      <c r="AO62" s="28">
        <v>255255255252</v>
      </c>
      <c r="AP62" s="21" t="s">
        <v>18</v>
      </c>
      <c r="AR62" s="22" t="s">
        <v>19</v>
      </c>
      <c r="AS62" t="s">
        <v>59</v>
      </c>
      <c r="AT62" t="s">
        <v>18</v>
      </c>
      <c r="AU62" s="35" t="s">
        <v>88</v>
      </c>
      <c r="AV62" t="s">
        <v>91</v>
      </c>
      <c r="AW62">
        <f t="shared" si="0"/>
        <v>2</v>
      </c>
    </row>
    <row r="63" spans="40:49" x14ac:dyDescent="0.35">
      <c r="AN63" s="29" t="s">
        <v>84</v>
      </c>
      <c r="AO63" s="28">
        <v>255255255252</v>
      </c>
      <c r="AP63" s="21" t="s">
        <v>18</v>
      </c>
      <c r="AR63" s="22" t="s">
        <v>19</v>
      </c>
      <c r="AS63" t="s">
        <v>60</v>
      </c>
      <c r="AT63" t="s">
        <v>18</v>
      </c>
      <c r="AU63" s="35" t="s">
        <v>88</v>
      </c>
      <c r="AV63" t="s">
        <v>91</v>
      </c>
      <c r="AW63">
        <f t="shared" si="0"/>
        <v>2</v>
      </c>
    </row>
    <row r="64" spans="40:49" x14ac:dyDescent="0.35">
      <c r="AN64" s="29" t="s">
        <v>84</v>
      </c>
      <c r="AO64" s="28">
        <v>255255255252</v>
      </c>
      <c r="AP64" s="21" t="s">
        <v>18</v>
      </c>
      <c r="AR64" s="22" t="s">
        <v>19</v>
      </c>
      <c r="AS64" t="s">
        <v>61</v>
      </c>
      <c r="AT64" t="s">
        <v>18</v>
      </c>
      <c r="AU64" s="35" t="s">
        <v>88</v>
      </c>
      <c r="AV64" t="s">
        <v>91</v>
      </c>
      <c r="AW64">
        <f t="shared" si="0"/>
        <v>2</v>
      </c>
    </row>
    <row r="65" spans="40:49" x14ac:dyDescent="0.35">
      <c r="AN65" s="29" t="s">
        <v>84</v>
      </c>
      <c r="AO65" s="28">
        <v>255255255252</v>
      </c>
      <c r="AP65" s="21" t="s">
        <v>18</v>
      </c>
      <c r="AR65" s="22" t="s">
        <v>19</v>
      </c>
      <c r="AS65" t="s">
        <v>62</v>
      </c>
      <c r="AT65" t="s">
        <v>18</v>
      </c>
      <c r="AU65" s="35" t="s">
        <v>88</v>
      </c>
      <c r="AV65" t="s">
        <v>91</v>
      </c>
      <c r="AW65">
        <f t="shared" si="0"/>
        <v>2</v>
      </c>
    </row>
    <row r="66" spans="40:49" x14ac:dyDescent="0.35">
      <c r="AN66" s="29" t="s">
        <v>84</v>
      </c>
      <c r="AO66" s="28">
        <v>255255255252</v>
      </c>
      <c r="AP66" s="21" t="s">
        <v>18</v>
      </c>
      <c r="AR66" s="22" t="s">
        <v>19</v>
      </c>
      <c r="AS66" t="s">
        <v>63</v>
      </c>
      <c r="AT66" t="s">
        <v>18</v>
      </c>
      <c r="AU66" s="35" t="s">
        <v>88</v>
      </c>
      <c r="AV66" t="s">
        <v>91</v>
      </c>
      <c r="AW66">
        <f t="shared" si="0"/>
        <v>2</v>
      </c>
    </row>
    <row r="67" spans="40:49" x14ac:dyDescent="0.35">
      <c r="AN67" s="29" t="s">
        <v>84</v>
      </c>
      <c r="AO67" s="28">
        <v>255255255252</v>
      </c>
      <c r="AP67" s="21" t="s">
        <v>18</v>
      </c>
      <c r="AR67" s="22" t="s">
        <v>19</v>
      </c>
      <c r="AS67" t="s">
        <v>64</v>
      </c>
      <c r="AT67" t="s">
        <v>18</v>
      </c>
      <c r="AU67" s="35" t="s">
        <v>88</v>
      </c>
      <c r="AV67" t="s">
        <v>91</v>
      </c>
      <c r="AW67">
        <f t="shared" si="0"/>
        <v>2</v>
      </c>
    </row>
    <row r="68" spans="40:49" x14ac:dyDescent="0.35">
      <c r="AN68" s="29" t="s">
        <v>84</v>
      </c>
      <c r="AO68" s="28">
        <v>255255255252</v>
      </c>
      <c r="AP68" s="21" t="s">
        <v>18</v>
      </c>
      <c r="AR68" s="22" t="s">
        <v>19</v>
      </c>
      <c r="AS68" t="s">
        <v>65</v>
      </c>
      <c r="AT68" t="s">
        <v>18</v>
      </c>
      <c r="AU68" s="35" t="s">
        <v>88</v>
      </c>
      <c r="AV68" t="s">
        <v>91</v>
      </c>
      <c r="AW68">
        <f t="shared" si="0"/>
        <v>2</v>
      </c>
    </row>
    <row r="69" spans="40:49" x14ac:dyDescent="0.35">
      <c r="AN69" s="29" t="s">
        <v>84</v>
      </c>
      <c r="AO69" s="28">
        <v>255255255252</v>
      </c>
      <c r="AP69" s="21" t="s">
        <v>18</v>
      </c>
      <c r="AR69" s="22" t="s">
        <v>19</v>
      </c>
      <c r="AS69" t="s">
        <v>66</v>
      </c>
      <c r="AT69" t="s">
        <v>18</v>
      </c>
      <c r="AU69" s="35" t="s">
        <v>88</v>
      </c>
      <c r="AV69" t="s">
        <v>91</v>
      </c>
      <c r="AW69">
        <f t="shared" si="0"/>
        <v>2</v>
      </c>
    </row>
    <row r="70" spans="40:49" x14ac:dyDescent="0.35">
      <c r="AN70" s="29" t="s">
        <v>84</v>
      </c>
      <c r="AO70" s="28">
        <v>255255255252</v>
      </c>
      <c r="AP70" s="21" t="s">
        <v>18</v>
      </c>
      <c r="AR70" s="22" t="s">
        <v>19</v>
      </c>
      <c r="AS70" t="s">
        <v>67</v>
      </c>
      <c r="AT70" t="s">
        <v>18</v>
      </c>
      <c r="AU70" s="35" t="s">
        <v>88</v>
      </c>
      <c r="AV70" t="s">
        <v>91</v>
      </c>
      <c r="AW70">
        <f t="shared" si="0"/>
        <v>2</v>
      </c>
    </row>
    <row r="71" spans="40:49" x14ac:dyDescent="0.35">
      <c r="AN71" s="29" t="s">
        <v>84</v>
      </c>
      <c r="AO71" s="28">
        <v>255255255252</v>
      </c>
      <c r="AP71" s="21" t="s">
        <v>18</v>
      </c>
      <c r="AR71" s="22" t="s">
        <v>19</v>
      </c>
      <c r="AS71" t="s">
        <v>68</v>
      </c>
      <c r="AT71" t="s">
        <v>18</v>
      </c>
      <c r="AU71" s="35" t="s">
        <v>88</v>
      </c>
      <c r="AV71" t="s">
        <v>91</v>
      </c>
      <c r="AW71">
        <f t="shared" si="0"/>
        <v>2</v>
      </c>
    </row>
    <row r="72" spans="40:49" x14ac:dyDescent="0.35">
      <c r="AN72" s="29" t="s">
        <v>84</v>
      </c>
      <c r="AO72" s="28">
        <v>255255255252</v>
      </c>
      <c r="AP72" s="21" t="s">
        <v>18</v>
      </c>
      <c r="AR72" s="22" t="s">
        <v>19</v>
      </c>
      <c r="AS72" t="s">
        <v>69</v>
      </c>
      <c r="AT72" t="s">
        <v>18</v>
      </c>
      <c r="AU72" s="35" t="s">
        <v>88</v>
      </c>
      <c r="AV72" t="s">
        <v>91</v>
      </c>
      <c r="AW72">
        <f t="shared" si="0"/>
        <v>2</v>
      </c>
    </row>
    <row r="73" spans="40:49" x14ac:dyDescent="0.35">
      <c r="AN73" s="29" t="s">
        <v>84</v>
      </c>
      <c r="AO73" s="28">
        <v>255255255252</v>
      </c>
      <c r="AP73" s="21" t="s">
        <v>18</v>
      </c>
      <c r="AR73" s="22" t="s">
        <v>19</v>
      </c>
      <c r="AS73" t="s">
        <v>70</v>
      </c>
      <c r="AT73" t="s">
        <v>18</v>
      </c>
      <c r="AU73" s="35" t="s">
        <v>88</v>
      </c>
      <c r="AV73" t="s">
        <v>91</v>
      </c>
      <c r="AW73">
        <f t="shared" si="0"/>
        <v>2</v>
      </c>
    </row>
    <row r="74" spans="40:49" x14ac:dyDescent="0.35">
      <c r="AN74" s="29" t="s">
        <v>84</v>
      </c>
      <c r="AO74" s="28">
        <v>255255255252</v>
      </c>
      <c r="AP74" s="21" t="s">
        <v>18</v>
      </c>
      <c r="AR74" s="22" t="s">
        <v>19</v>
      </c>
      <c r="AS74" t="s">
        <v>71</v>
      </c>
      <c r="AT74" t="s">
        <v>18</v>
      </c>
      <c r="AU74" s="35" t="s">
        <v>88</v>
      </c>
      <c r="AV74" t="s">
        <v>91</v>
      </c>
      <c r="AW74">
        <f t="shared" si="0"/>
        <v>2</v>
      </c>
    </row>
    <row r="75" spans="40:49" x14ac:dyDescent="0.35">
      <c r="AN75" s="29" t="s">
        <v>84</v>
      </c>
      <c r="AO75" s="28">
        <v>255255255252</v>
      </c>
      <c r="AP75" s="21" t="s">
        <v>18</v>
      </c>
      <c r="AR75" s="22" t="s">
        <v>19</v>
      </c>
      <c r="AS75" t="s">
        <v>72</v>
      </c>
      <c r="AT75" t="s">
        <v>18</v>
      </c>
      <c r="AU75" s="35" t="s">
        <v>88</v>
      </c>
      <c r="AV75" t="s">
        <v>91</v>
      </c>
      <c r="AW75">
        <f t="shared" si="0"/>
        <v>2</v>
      </c>
    </row>
    <row r="76" spans="40:49" x14ac:dyDescent="0.35">
      <c r="AN76" s="29" t="s">
        <v>84</v>
      </c>
      <c r="AO76" s="28">
        <v>255255255252</v>
      </c>
      <c r="AP76" s="21" t="s">
        <v>18</v>
      </c>
      <c r="AR76" s="22" t="s">
        <v>19</v>
      </c>
      <c r="AS76" t="s">
        <v>73</v>
      </c>
      <c r="AT76" t="s">
        <v>18</v>
      </c>
      <c r="AU76" s="35" t="s">
        <v>88</v>
      </c>
      <c r="AV76" t="s">
        <v>91</v>
      </c>
      <c r="AW76">
        <f t="shared" si="0"/>
        <v>2</v>
      </c>
    </row>
    <row r="77" spans="40:49" x14ac:dyDescent="0.35">
      <c r="AN77" s="29" t="s">
        <v>84</v>
      </c>
      <c r="AO77" s="28">
        <v>255255255252</v>
      </c>
      <c r="AP77" s="21" t="s">
        <v>18</v>
      </c>
      <c r="AR77" s="22" t="s">
        <v>19</v>
      </c>
      <c r="AS77" t="s">
        <v>74</v>
      </c>
      <c r="AT77" t="s">
        <v>18</v>
      </c>
      <c r="AU77" s="35" t="s">
        <v>88</v>
      </c>
      <c r="AV77" t="s">
        <v>91</v>
      </c>
      <c r="AW77">
        <f t="shared" si="0"/>
        <v>2</v>
      </c>
    </row>
    <row r="78" spans="40:49" x14ac:dyDescent="0.35">
      <c r="AN78" s="29" t="s">
        <v>84</v>
      </c>
      <c r="AO78" s="28">
        <v>255255255252</v>
      </c>
      <c r="AP78" s="21" t="s">
        <v>18</v>
      </c>
      <c r="AR78" s="22" t="s">
        <v>19</v>
      </c>
      <c r="AS78" t="s">
        <v>75</v>
      </c>
      <c r="AT78" t="s">
        <v>18</v>
      </c>
      <c r="AU78" s="35" t="s">
        <v>88</v>
      </c>
      <c r="AV78" t="s">
        <v>91</v>
      </c>
      <c r="AW78">
        <f t="shared" si="0"/>
        <v>2</v>
      </c>
    </row>
    <row r="79" spans="40:49" x14ac:dyDescent="0.35">
      <c r="AN79" s="29" t="s">
        <v>84</v>
      </c>
      <c r="AO79" s="28">
        <v>255255255252</v>
      </c>
      <c r="AP79" s="21" t="s">
        <v>18</v>
      </c>
      <c r="AR79" s="22" t="s">
        <v>19</v>
      </c>
      <c r="AS79" t="s">
        <v>76</v>
      </c>
      <c r="AT79" t="s">
        <v>18</v>
      </c>
      <c r="AU79" s="35" t="s">
        <v>88</v>
      </c>
      <c r="AV79" t="s">
        <v>91</v>
      </c>
      <c r="AW79">
        <f t="shared" si="0"/>
        <v>2</v>
      </c>
    </row>
    <row r="80" spans="40:49" x14ac:dyDescent="0.35">
      <c r="AN80" s="29" t="s">
        <v>84</v>
      </c>
      <c r="AO80" s="28">
        <v>255255255252</v>
      </c>
      <c r="AP80" s="21" t="s">
        <v>18</v>
      </c>
      <c r="AR80" s="22" t="s">
        <v>19</v>
      </c>
      <c r="AS80" t="s">
        <v>77</v>
      </c>
      <c r="AT80" t="s">
        <v>18</v>
      </c>
      <c r="AU80" s="35" t="s">
        <v>88</v>
      </c>
      <c r="AV80" t="s">
        <v>91</v>
      </c>
      <c r="AW80">
        <f t="shared" si="0"/>
        <v>2</v>
      </c>
    </row>
    <row r="81" spans="1:49" x14ac:dyDescent="0.35">
      <c r="AN81" s="29" t="s">
        <v>84</v>
      </c>
      <c r="AO81" s="28">
        <v>255255255252</v>
      </c>
      <c r="AP81" s="21" t="s">
        <v>18</v>
      </c>
      <c r="AR81" s="22" t="s">
        <v>19</v>
      </c>
      <c r="AS81" t="s">
        <v>78</v>
      </c>
      <c r="AT81" t="s">
        <v>18</v>
      </c>
      <c r="AU81" s="35" t="s">
        <v>88</v>
      </c>
      <c r="AV81" t="s">
        <v>91</v>
      </c>
      <c r="AW81">
        <f t="shared" si="0"/>
        <v>2</v>
      </c>
    </row>
    <row r="82" spans="1:49" x14ac:dyDescent="0.35">
      <c r="B82" s="11"/>
      <c r="K82" s="11"/>
      <c r="T82" s="11"/>
    </row>
    <row r="83" spans="1:49" x14ac:dyDescent="0.35">
      <c r="A83" s="36"/>
      <c r="B83" s="36"/>
      <c r="C83" s="36"/>
      <c r="D83" s="36"/>
      <c r="E83" s="36"/>
      <c r="F83" s="37"/>
      <c r="G83" s="37"/>
      <c r="K83" s="11"/>
      <c r="T83" s="11"/>
    </row>
    <row r="84" spans="1:49" x14ac:dyDescent="0.35">
      <c r="A84" s="38" t="s">
        <v>80</v>
      </c>
      <c r="B84" s="38"/>
      <c r="C84" s="38"/>
      <c r="D84" s="38"/>
      <c r="E84" s="37" t="s">
        <v>92</v>
      </c>
      <c r="F84" s="37"/>
      <c r="G84" s="37"/>
      <c r="H84" s="37"/>
      <c r="I84" s="36">
        <f>2*58+6+14</f>
        <v>136</v>
      </c>
      <c r="J84" s="36"/>
      <c r="K84" s="32"/>
      <c r="L84" s="32"/>
      <c r="M84" s="32"/>
      <c r="N84" s="32"/>
      <c r="O84" s="37"/>
      <c r="P84" s="37"/>
      <c r="T84" s="11"/>
    </row>
    <row r="85" spans="1:49" x14ac:dyDescent="0.35">
      <c r="B85" s="11"/>
      <c r="K85" s="11"/>
      <c r="T85" s="11"/>
    </row>
    <row r="86" spans="1:49" ht="29" x14ac:dyDescent="0.35">
      <c r="A86" s="33" t="s">
        <v>87</v>
      </c>
      <c r="B86" s="11"/>
      <c r="C86" s="7">
        <v>1</v>
      </c>
      <c r="D86" s="7">
        <v>1</v>
      </c>
      <c r="E86" s="7">
        <v>0</v>
      </c>
      <c r="F86" s="7">
        <v>0</v>
      </c>
      <c r="G86" s="7">
        <v>1</v>
      </c>
      <c r="H86" s="7">
        <v>0</v>
      </c>
      <c r="I86" s="7">
        <v>0</v>
      </c>
      <c r="J86" s="7">
        <v>1</v>
      </c>
      <c r="K86" s="12"/>
      <c r="L86" s="7">
        <v>1</v>
      </c>
      <c r="M86" s="7">
        <v>1</v>
      </c>
      <c r="N86" s="7">
        <v>0</v>
      </c>
      <c r="O86" s="7">
        <v>1</v>
      </c>
      <c r="P86" s="7">
        <v>1</v>
      </c>
      <c r="Q86" s="7">
        <v>1</v>
      </c>
      <c r="R86" s="7">
        <v>1</v>
      </c>
      <c r="S86" s="7">
        <v>0</v>
      </c>
      <c r="T86" s="12"/>
      <c r="U86" s="7">
        <v>0</v>
      </c>
      <c r="V86" s="7">
        <v>0</v>
      </c>
      <c r="W86" s="7">
        <v>0</v>
      </c>
      <c r="X86" s="7">
        <v>0</v>
      </c>
      <c r="Y86" s="7">
        <v>1</v>
      </c>
      <c r="Z86" s="7">
        <v>0</v>
      </c>
      <c r="AA86" s="7">
        <v>1</v>
      </c>
      <c r="AB86" s="7">
        <v>0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7">
        <v>1</v>
      </c>
      <c r="AJ86" s="23">
        <v>1</v>
      </c>
      <c r="AK86" s="23">
        <v>1</v>
      </c>
      <c r="AL86" t="s">
        <v>78</v>
      </c>
    </row>
    <row r="87" spans="1:49" x14ac:dyDescent="0.35">
      <c r="A87" s="34"/>
      <c r="B87" s="11"/>
      <c r="F87">
        <v>192</v>
      </c>
      <c r="K87" s="11"/>
      <c r="O87">
        <v>168</v>
      </c>
      <c r="T87" s="11"/>
      <c r="X87">
        <v>73</v>
      </c>
      <c r="AG87">
        <v>255</v>
      </c>
    </row>
    <row r="90" spans="1:49" x14ac:dyDescent="0.35">
      <c r="E90" t="s">
        <v>9</v>
      </c>
    </row>
  </sheetData>
  <mergeCells count="8">
    <mergeCell ref="I84:J84"/>
    <mergeCell ref="AJ4:AK4"/>
    <mergeCell ref="AD4:AI4"/>
    <mergeCell ref="O84:P84"/>
    <mergeCell ref="A83:E83"/>
    <mergeCell ref="F83:G83"/>
    <mergeCell ref="E84:H84"/>
    <mergeCell ref="A84:D8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2023-02-18T12:32:47Z</dcterms:created>
  <dcterms:modified xsi:type="dcterms:W3CDTF">2026-01-07T03:54:19Z</dcterms:modified>
</cp:coreProperties>
</file>